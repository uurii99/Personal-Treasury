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4"/>
  </sheets>
  <definedNames/>
  <calcPr/>
  <extLst>
    <ext uri="GoogleSheetsCustomDataVersion2">
      <go:sheetsCustomData xmlns:go="http://customooxmlschemas.google.com/" r:id="rId5" roundtripDataChecksum="MwXRu3C6sUWo3RzVnn/IQbGoezp/MEKoM0vL7zU3ELI="/>
    </ext>
  </extLst>
</workbook>
</file>

<file path=xl/sharedStrings.xml><?xml version="1.0" encoding="utf-8"?>
<sst xmlns="http://schemas.openxmlformats.org/spreadsheetml/2006/main" count="93" uniqueCount="49">
  <si>
    <t>PRESSUPOST ANUAL TRESORERIA-2026</t>
  </si>
  <si>
    <t>PREVISIÓ D'INGRESSOS 100%</t>
  </si>
  <si>
    <t>GENER</t>
  </si>
  <si>
    <t>FEBRER</t>
  </si>
  <si>
    <t>MARÇ</t>
  </si>
  <si>
    <t>ABRIL</t>
  </si>
  <si>
    <t>MAIG</t>
  </si>
  <si>
    <t>JUNY</t>
  </si>
  <si>
    <t>JULIOL</t>
  </si>
  <si>
    <t>AGOST</t>
  </si>
  <si>
    <t>SETEMBRE</t>
  </si>
  <si>
    <t>OCTUBRE</t>
  </si>
  <si>
    <t>NOVEMBRE</t>
  </si>
  <si>
    <t>DESEMBRE</t>
  </si>
  <si>
    <t>TOTAL %</t>
  </si>
  <si>
    <t>NÒMINA</t>
  </si>
  <si>
    <t>EXTRES</t>
  </si>
  <si>
    <t xml:space="preserve">                                    TOTAL:</t>
  </si>
  <si>
    <t>PREVISIÓ DE DESPESES FIXES 40%</t>
  </si>
  <si>
    <t>TOTAL</t>
  </si>
  <si>
    <t>Mes</t>
  </si>
  <si>
    <t>GYM - FIJO</t>
  </si>
  <si>
    <t>ASSEG. MOTO</t>
  </si>
  <si>
    <t>Concepte</t>
  </si>
  <si>
    <t>Import</t>
  </si>
  <si>
    <t>ITV MOTO</t>
  </si>
  <si>
    <t>REV./REPARACIONS MOTO</t>
  </si>
  <si>
    <t>IMPOST CIRCULACIO MOTO</t>
  </si>
  <si>
    <t>TRANSPORT PÚBLIC</t>
  </si>
  <si>
    <t>BENZINA MOTO</t>
  </si>
  <si>
    <t>CORTE DE PELO</t>
  </si>
  <si>
    <t>OTROS</t>
  </si>
  <si>
    <t xml:space="preserve">                       TOTAL GASTAT:</t>
  </si>
  <si>
    <t xml:space="preserve">                                RESTANT:</t>
  </si>
  <si>
    <t>SABADELL / REVOLUT¿?</t>
  </si>
  <si>
    <t>PREVISIÓ DE DESPESES OPCIONALS 30%</t>
  </si>
  <si>
    <t>SALIDAS/VIAGES</t>
  </si>
  <si>
    <t>ROPA</t>
  </si>
  <si>
    <t>COMIDAS</t>
  </si>
  <si>
    <t>DEPORTES</t>
  </si>
  <si>
    <t>REGALS</t>
  </si>
  <si>
    <t>PIEZAS MOTO</t>
  </si>
  <si>
    <t>GASOLINA MOTO</t>
  </si>
  <si>
    <t>HOTWHEELS</t>
  </si>
  <si>
    <t>REVOLUT</t>
  </si>
  <si>
    <t>PREVISIÓ DE DESPESES PROVISIONALS/ESTALVI 30%</t>
  </si>
  <si>
    <t>INVERSIÓ</t>
  </si>
  <si>
    <t>FONS EMERGENCIA</t>
  </si>
  <si>
    <t>MY INVERSOR / Trade Republic¿?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</si>
</sst>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b/>
      <sz val="16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/>
    <font>
      <sz val="14.0"/>
      <color theme="1"/>
      <name val="Calibri"/>
    </font>
    <font>
      <b/>
      <sz val="11.0"/>
      <color rgb="FF000000"/>
      <name val="Calibri"/>
    </font>
    <font>
      <sz val="11.0"/>
      <color rgb="FF00B050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38761D"/>
        <bgColor rgb="FF38761D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434343"/>
        <bgColor rgb="FF434343"/>
      </patternFill>
    </fill>
    <fill>
      <patternFill patternType="solid">
        <fgColor rgb="FFCC0000"/>
        <bgColor rgb="FFCC00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1C4587"/>
        <bgColor rgb="FF1C4587"/>
      </patternFill>
    </fill>
    <fill>
      <patternFill patternType="solid">
        <fgColor rgb="FFC9DAF8"/>
        <bgColor rgb="FFC9DAF8"/>
      </patternFill>
    </fill>
    <fill>
      <patternFill patternType="solid">
        <fgColor rgb="FFBF9000"/>
        <bgColor rgb="FFBF9000"/>
      </patternFill>
    </fill>
    <fill>
      <patternFill patternType="solid">
        <fgColor rgb="FFFFF2CC"/>
        <bgColor rgb="FFFFF2C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3" fontId="1" numFmtId="0" xfId="0" applyAlignment="1" applyFill="1" applyFont="1">
      <alignment horizontal="left" vertical="center"/>
    </xf>
    <xf borderId="0" fillId="2" fontId="1" numFmtId="0" xfId="0" applyAlignment="1" applyFill="1" applyFont="1">
      <alignment horizontal="center" vertical="center"/>
    </xf>
    <xf borderId="0" fillId="2" fontId="2" numFmtId="0" xfId="0" applyFill="1" applyFont="1"/>
    <xf borderId="0" fillId="2" fontId="3" numFmtId="0" xfId="0" applyFill="1" applyFont="1"/>
    <xf borderId="0" fillId="2" fontId="4" numFmtId="0" xfId="0" applyFill="1" applyFont="1"/>
    <xf borderId="0" fillId="2" fontId="1" numFmtId="0" xfId="0" applyFill="1" applyFont="1"/>
    <xf borderId="0" fillId="2" fontId="1" numFmtId="0" xfId="0" applyAlignment="1" applyFill="1" applyFont="1">
      <alignment horizontal="left" vertical="center"/>
    </xf>
    <xf borderId="0" fillId="3" fontId="1" numFmtId="0" xfId="0" applyAlignment="1" applyFill="1" applyFont="1">
      <alignment horizontal="left" vertical="center"/>
    </xf>
    <xf borderId="1" fillId="4" fontId="5" numFmtId="0" xfId="0" applyAlignment="1" applyBorder="1" applyFill="1" applyFont="1">
      <alignment horizontal="center" readingOrder="0"/>
    </xf>
    <xf borderId="2" fillId="0" fontId="6" numFmtId="0" xfId="0" applyBorder="1" applyFont="1"/>
    <xf borderId="3" fillId="0" fontId="6" numFmtId="0" xfId="0" applyBorder="1" applyFont="1"/>
    <xf borderId="0" fillId="2" fontId="7" numFmtId="0" xfId="0" applyAlignment="1" applyFill="1" applyFont="1">
      <alignment horizontal="left" vertical="center"/>
    </xf>
    <xf borderId="0" fillId="3" fontId="7" numFmtId="0" xfId="0" applyAlignment="1" applyFill="1" applyFont="1">
      <alignment horizontal="left" vertical="center"/>
    </xf>
    <xf borderId="4" fillId="5" fontId="8" numFmtId="0" xfId="0" applyAlignment="1" applyBorder="1" applyFill="1" applyFont="1">
      <alignment horizontal="center" vertical="center"/>
    </xf>
    <xf borderId="0" fillId="2" fontId="8" numFmtId="0" xfId="0" applyAlignment="1" applyFill="1" applyFont="1">
      <alignment horizontal="left"/>
    </xf>
    <xf borderId="1" fillId="6" fontId="8" numFmtId="0" xfId="0" applyAlignment="1" applyBorder="1" applyFill="1" applyFont="1">
      <alignment horizontal="left"/>
    </xf>
    <xf borderId="4" fillId="7" fontId="1" numFmtId="2" xfId="0" applyAlignment="1" applyBorder="1" applyFill="1" applyFont="1" applyNumberFormat="1">
      <alignment horizontal="right"/>
    </xf>
    <xf borderId="4" fillId="7" fontId="1" numFmtId="2" xfId="0" applyAlignment="1" applyBorder="1" applyFill="1" applyFont="1" applyNumberFormat="1">
      <alignment horizontal="right" readingOrder="0"/>
    </xf>
    <xf borderId="4" fillId="5" fontId="4" numFmtId="2" xfId="0" applyAlignment="1" applyBorder="1" applyFill="1" applyFont="1" applyNumberFormat="1">
      <alignment horizontal="right"/>
    </xf>
    <xf borderId="0" fillId="5" fontId="4" numFmtId="0" xfId="0" applyAlignment="1" applyFill="1" applyFont="1">
      <alignment horizontal="right"/>
    </xf>
    <xf borderId="0" fillId="2" fontId="8" numFmtId="0" xfId="0" applyAlignment="1" applyFill="1" applyFont="1">
      <alignment horizontal="left" vertical="center"/>
    </xf>
    <xf borderId="5" fillId="6" fontId="8" numFmtId="0" xfId="0" applyAlignment="1" applyBorder="1" applyFill="1" applyFont="1">
      <alignment horizontal="left" vertical="center"/>
    </xf>
    <xf borderId="4" fillId="7" fontId="2" numFmtId="0" xfId="0" applyBorder="1" applyFill="1" applyFont="1"/>
    <xf borderId="0" fillId="2" fontId="5" numFmtId="0" xfId="0" applyAlignment="1" applyFill="1" applyFont="1">
      <alignment vertical="top"/>
    </xf>
    <xf borderId="5" fillId="8" fontId="5" numFmtId="0" xfId="0" applyAlignment="1" applyBorder="1" applyFill="1" applyFont="1">
      <alignment vertical="top"/>
    </xf>
    <xf borderId="4" fillId="8" fontId="5" numFmtId="2" xfId="0" applyAlignment="1" applyBorder="1" applyFill="1" applyFont="1" applyNumberFormat="1">
      <alignment horizontal="right"/>
    </xf>
    <xf borderId="0" fillId="8" fontId="5" numFmtId="0" xfId="0" applyAlignment="1" applyFill="1" applyFont="1">
      <alignment horizontal="right"/>
    </xf>
    <xf borderId="0" fillId="2" fontId="9" numFmtId="0" xfId="0" applyAlignment="1" applyFill="1" applyFont="1">
      <alignment horizontal="center" vertical="center"/>
    </xf>
    <xf borderId="0" fillId="2" fontId="9" numFmtId="0" xfId="0" applyFill="1" applyFont="1"/>
    <xf borderId="1" fillId="9" fontId="5" numFmtId="0" xfId="0" applyAlignment="1" applyBorder="1" applyFill="1" applyFont="1">
      <alignment horizontal="center" readingOrder="0"/>
    </xf>
    <xf borderId="4" fillId="5" fontId="8" numFmtId="0" xfId="0" applyAlignment="1" applyBorder="1" applyFill="1" applyFont="1">
      <alignment horizontal="center" vertical="center"/>
    </xf>
    <xf borderId="4" fillId="5" fontId="8" numFmtId="0" xfId="0" applyAlignment="1" applyBorder="1" applyFill="1" applyFont="1">
      <alignment horizontal="center"/>
    </xf>
    <xf borderId="4" fillId="10" fontId="2" numFmtId="0" xfId="0" applyBorder="1" applyFill="1" applyFont="1"/>
    <xf borderId="4" fillId="10" fontId="2" numFmtId="0" xfId="0" applyAlignment="1" applyBorder="1" applyFill="1" applyFont="1">
      <alignment readingOrder="0"/>
    </xf>
    <xf borderId="0" fillId="2" fontId="8" numFmtId="0" xfId="0" applyAlignment="1" applyFill="1" applyFont="1">
      <alignment horizontal="left" vertical="center"/>
    </xf>
    <xf borderId="1" fillId="5" fontId="8" numFmtId="0" xfId="0" applyAlignment="1" applyBorder="1" applyFill="1" applyFont="1">
      <alignment horizontal="left" readingOrder="0" vertical="center"/>
    </xf>
    <xf borderId="4" fillId="10" fontId="1" numFmtId="2" xfId="0" applyAlignment="1" applyBorder="1" applyFill="1" applyFont="1" applyNumberFormat="1">
      <alignment horizontal="right"/>
    </xf>
    <xf borderId="4" fillId="10" fontId="4" numFmtId="2" xfId="0" applyAlignment="1" applyBorder="1" applyFill="1" applyFont="1" applyNumberFormat="1">
      <alignment horizontal="right"/>
    </xf>
    <xf borderId="4" fillId="10" fontId="1" numFmtId="2" xfId="0" applyAlignment="1" applyBorder="1" applyFill="1" applyFont="1" applyNumberFormat="1">
      <alignment horizontal="right" readingOrder="0"/>
    </xf>
    <xf borderId="1" fillId="5" fontId="8" numFmtId="0" xfId="0" applyAlignment="1" applyBorder="1" applyFill="1" applyFont="1">
      <alignment horizontal="left" vertical="center"/>
    </xf>
    <xf borderId="4" fillId="11" fontId="1" numFmtId="2" xfId="0" applyAlignment="1" applyBorder="1" applyFill="1" applyFont="1" applyNumberFormat="1">
      <alignment horizontal="right"/>
    </xf>
    <xf borderId="4" fillId="5" fontId="1" numFmtId="2" xfId="0" applyAlignment="1" applyBorder="1" applyFill="1" applyFont="1" applyNumberFormat="1">
      <alignment horizontal="right"/>
    </xf>
    <xf borderId="4" fillId="11" fontId="4" numFmtId="2" xfId="0" applyAlignment="1" applyBorder="1" applyFill="1" applyFont="1" applyNumberFormat="1">
      <alignment horizontal="right"/>
    </xf>
    <xf borderId="0" fillId="0" fontId="2" numFmtId="2" xfId="0" applyFont="1" applyNumberFormat="1"/>
    <xf borderId="5" fillId="5" fontId="8" numFmtId="0" xfId="0" applyAlignment="1" applyBorder="1" applyFill="1" applyFont="1">
      <alignment horizontal="left" readingOrder="0" vertical="center"/>
    </xf>
    <xf borderId="4" fillId="11" fontId="1" numFmtId="2" xfId="0" applyAlignment="1" applyBorder="1" applyFill="1" applyFont="1" applyNumberFormat="1">
      <alignment horizontal="right" readingOrder="0"/>
    </xf>
    <xf borderId="0" fillId="2" fontId="5" numFmtId="0" xfId="0" applyAlignment="1" applyFill="1" applyFont="1">
      <alignment horizontal="center" vertical="top"/>
    </xf>
    <xf borderId="5" fillId="8" fontId="5" numFmtId="0" xfId="0" applyAlignment="1" applyBorder="1" applyFill="1" applyFont="1">
      <alignment horizontal="center" vertical="top"/>
    </xf>
    <xf borderId="4" fillId="8" fontId="5" numFmtId="2" xfId="0" applyAlignment="1" applyBorder="1" applyFill="1" applyFont="1" applyNumberFormat="1">
      <alignment horizontal="right"/>
    </xf>
    <xf borderId="0" fillId="2" fontId="5" numFmtId="0" xfId="0" applyAlignment="1" applyFill="1" applyFont="1">
      <alignment horizontal="center" vertical="center"/>
    </xf>
    <xf borderId="4" fillId="8" fontId="5" numFmtId="0" xfId="0" applyAlignment="1" applyBorder="1" applyFill="1" applyFont="1">
      <alignment horizontal="center" vertical="center"/>
    </xf>
    <xf borderId="0" fillId="2" fontId="5" numFmtId="0" xfId="0" applyAlignment="1" applyFill="1" applyFont="1">
      <alignment horizontal="right"/>
    </xf>
    <xf borderId="4" fillId="9" fontId="5" numFmtId="0" xfId="0" applyAlignment="1" applyBorder="1" applyFill="1" applyFont="1">
      <alignment horizontal="right" readingOrder="0"/>
    </xf>
    <xf borderId="4" fillId="9" fontId="5" numFmtId="2" xfId="0" applyAlignment="1" applyBorder="1" applyFill="1" applyFont="1" applyNumberFormat="1">
      <alignment horizontal="right"/>
    </xf>
    <xf borderId="1" fillId="12" fontId="5" numFmtId="0" xfId="0" applyAlignment="1" applyBorder="1" applyFill="1" applyFont="1">
      <alignment horizontal="center" readingOrder="0"/>
    </xf>
    <xf borderId="4" fillId="5" fontId="8" numFmtId="0" xfId="0" applyAlignment="1" applyBorder="1" applyFill="1" applyFont="1">
      <alignment horizontal="left" readingOrder="0" vertical="center"/>
    </xf>
    <xf borderId="4" fillId="13" fontId="1" numFmtId="2" xfId="0" applyAlignment="1" applyBorder="1" applyFill="1" applyFont="1" applyNumberFormat="1">
      <alignment horizontal="right"/>
    </xf>
    <xf borderId="4" fillId="5" fontId="4" numFmtId="2" xfId="0" applyAlignment="1" applyBorder="1" applyFill="1" applyFont="1" applyNumberFormat="1">
      <alignment horizontal="right"/>
    </xf>
    <xf borderId="4" fillId="13" fontId="1" numFmtId="2" xfId="0" applyAlignment="1" applyBorder="1" applyFill="1" applyFont="1" applyNumberFormat="1">
      <alignment horizontal="right" readingOrder="0"/>
    </xf>
    <xf borderId="6" fillId="5" fontId="8" numFmtId="0" xfId="0" applyAlignment="1" applyBorder="1" applyFill="1" applyFont="1">
      <alignment horizontal="left" vertical="center"/>
    </xf>
    <xf borderId="6" fillId="5" fontId="8" numFmtId="0" xfId="0" applyAlignment="1" applyBorder="1" applyFill="1" applyFont="1">
      <alignment horizontal="left" readingOrder="0" vertical="center"/>
    </xf>
    <xf borderId="0" fillId="2" fontId="5" numFmtId="0" xfId="0" applyAlignment="1" applyFill="1" applyFont="1">
      <alignment vertical="top"/>
    </xf>
    <xf borderId="5" fillId="8" fontId="5" numFmtId="0" xfId="0" applyAlignment="1" applyBorder="1" applyFill="1" applyFont="1">
      <alignment vertical="top"/>
    </xf>
    <xf borderId="0" fillId="2" fontId="5" numFmtId="0" xfId="0" applyAlignment="1" applyFill="1" applyFont="1">
      <alignment horizontal="left" vertical="center"/>
    </xf>
    <xf borderId="4" fillId="8" fontId="5" numFmtId="0" xfId="0" applyAlignment="1" applyBorder="1" applyFill="1" applyFont="1">
      <alignment horizontal="left" vertical="center"/>
    </xf>
    <xf borderId="4" fillId="12" fontId="5" numFmtId="0" xfId="0" applyAlignment="1" applyBorder="1" applyFill="1" applyFont="1">
      <alignment horizontal="right"/>
    </xf>
    <xf borderId="4" fillId="12" fontId="5" numFmtId="2" xfId="0" applyAlignment="1" applyBorder="1" applyFill="1" applyFont="1" applyNumberFormat="1">
      <alignment horizontal="right"/>
    </xf>
    <xf borderId="1" fillId="14" fontId="5" numFmtId="0" xfId="0" applyAlignment="1" applyBorder="1" applyFill="1" applyFont="1">
      <alignment horizontal="center" readingOrder="0"/>
    </xf>
    <xf borderId="0" fillId="2" fontId="8" numFmtId="0" xfId="0" applyAlignment="1" applyFill="1" applyFont="1">
      <alignment horizontal="right" vertical="center"/>
    </xf>
    <xf borderId="4" fillId="5" fontId="8" numFmtId="0" xfId="0" applyAlignment="1" applyBorder="1" applyFill="1" applyFont="1">
      <alignment horizontal="right" vertical="center"/>
    </xf>
    <xf borderId="4" fillId="15" fontId="1" numFmtId="2" xfId="0" applyAlignment="1" applyBorder="1" applyFill="1" applyFont="1" applyNumberFormat="1">
      <alignment horizontal="right"/>
    </xf>
    <xf borderId="0" fillId="2" fontId="8" numFmtId="0" xfId="0" applyAlignment="1" applyFill="1" applyFont="1">
      <alignment horizontal="right"/>
    </xf>
    <xf borderId="6" fillId="5" fontId="8" numFmtId="0" xfId="0" applyAlignment="1" applyBorder="1" applyFill="1" applyFont="1">
      <alignment horizontal="right"/>
    </xf>
    <xf borderId="4" fillId="14" fontId="5" numFmtId="0" xfId="0" applyAlignment="1" applyBorder="1" applyFill="1" applyFont="1">
      <alignment horizontal="right" readingOrder="0"/>
    </xf>
    <xf borderId="4" fillId="14" fontId="5" numFmtId="2" xfId="0" applyAlignment="1" applyBorder="1" applyFill="1" applyFont="1" applyNumberFormat="1">
      <alignment horizontal="right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93C47D"/>
      </font>
      <fill>
        <patternFill patternType="solid">
          <fgColor rgb="FF434343"/>
          <bgColor rgb="FF434343"/>
        </patternFill>
      </fill>
      <border/>
    </dxf>
    <dxf>
      <font>
        <color rgb="FFFF0000"/>
      </font>
      <fill>
        <patternFill patternType="solid">
          <fgColor rgb="FF434343"/>
          <bgColor rgb="FF434343"/>
        </patternFill>
      </fill>
      <border/>
    </dxf>
  </dxfs>
  <tableStyles count="3">
    <tableStyle count="3" pivot="0" name="2026-style">
      <tableStyleElement dxfId="1" type="headerRow"/>
      <tableStyleElement dxfId="2" type="firstRowStripe"/>
      <tableStyleElement dxfId="3" type="secondRowStripe"/>
    </tableStyle>
    <tableStyle count="3" pivot="0" name="2026-style 2">
      <tableStyleElement dxfId="1" type="headerRow"/>
      <tableStyleElement dxfId="2" type="firstRowStripe"/>
      <tableStyleElement dxfId="3" type="secondRowStripe"/>
    </tableStyle>
    <tableStyle count="3" pivot="0" name="2026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Gastos 30%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'2026'!$R$31</c:f>
            </c:strRef>
          </c:tx>
          <c:dPt>
            <c:idx val="0"/>
            <c:explosion val="0"/>
            <c:spPr>
              <a:solidFill>
                <a:srgbClr val="E06666"/>
              </a:solidFill>
            </c:spPr>
          </c:dPt>
          <c:dPt>
            <c:idx val="1"/>
            <c:spPr>
              <a:solidFill>
                <a:srgbClr val="4A86E8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Pt>
            <c:idx val="3"/>
            <c:spPr>
              <a:solidFill>
                <a:srgbClr val="F6B26B"/>
              </a:solidFill>
            </c:spPr>
          </c:dPt>
          <c:dPt>
            <c:idx val="4"/>
            <c:spPr>
              <a:solidFill>
                <a:srgbClr val="C27BA0"/>
              </a:solidFill>
            </c:spPr>
          </c:dPt>
          <c:dPt>
            <c:idx val="5"/>
            <c:spPr>
              <a:solidFill>
                <a:srgbClr val="EFEFEF"/>
              </a:solidFill>
            </c:spPr>
          </c:dPt>
          <c:dPt>
            <c:idx val="6"/>
            <c:spPr>
              <a:solidFill>
                <a:srgbClr val="980000"/>
              </a:solidFill>
            </c:spPr>
          </c:dPt>
          <c:dPt>
            <c:idx val="7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'2026'!$Q$32:$Q$39</c:f>
            </c:strRef>
          </c:cat>
          <c:val>
            <c:numRef>
              <c:f>'2026'!$R$32:$R$39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952500</xdr:colOff>
      <xdr:row>9</xdr:row>
      <xdr:rowOff>180975</xdr:rowOff>
    </xdr:from>
    <xdr:ext cx="5715000" cy="3609975"/>
    <xdr:pic>
      <xdr:nvPicPr>
        <xdr:cNvPr id="1379840679" name="Chart1" title="Gràfic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933450</xdr:colOff>
      <xdr:row>28</xdr:row>
      <xdr:rowOff>114300</xdr:rowOff>
    </xdr:from>
    <xdr:ext cx="5715000" cy="3533775"/>
    <xdr:graphicFrame>
      <xdr:nvGraphicFramePr>
        <xdr:cNvPr id="1773458314" name="Chart 2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headerRowCount="0" ref="A1:B1" displayName="Table_1" name="Table_1" id="1">
  <tableColumns count="2">
    <tableColumn name="Column1" id="1"/>
    <tableColumn name="Column2" id="2"/>
  </tableColumns>
  <tableStyleInfo name="20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3:P6" displayName="Table_2" name="Table_2" id="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202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C28:O28" displayName="Table_3" name="Table_3" id="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2026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CCCCCC"/>
      </a:lt1>
      <a:dk2>
        <a:srgbClr val="000000"/>
      </a:dk2>
      <a:lt2>
        <a:srgbClr val="CCCCCC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5.43"/>
    <col customWidth="1" min="2" max="2" width="25.57"/>
    <col customWidth="1" min="3" max="3" width="16.14"/>
    <col customWidth="1" min="4" max="4" width="16.71"/>
    <col customWidth="1" min="5" max="5" width="17.57"/>
    <col customWidth="1" min="6" max="6" width="17.0"/>
    <col customWidth="1" min="7" max="7" width="16.86"/>
    <col customWidth="1" min="8" max="8" width="17.29"/>
    <col customWidth="1" min="9" max="9" width="16.57"/>
    <col customWidth="1" min="17" max="17" width="25.29"/>
  </cols>
  <sheetData>
    <row r="1">
      <c r="A1" s="1"/>
      <c r="B1" s="2"/>
      <c r="C1" s="3"/>
      <c r="D1" s="4"/>
      <c r="E1" s="4"/>
      <c r="F1" s="4"/>
      <c r="G1" s="5" t="s">
        <v>0</v>
      </c>
      <c r="H1" s="5"/>
      <c r="I1" s="6"/>
      <c r="J1" s="7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>
      <c r="A2" s="8"/>
      <c r="B2" s="9"/>
      <c r="C2" s="10" t="s">
        <v>1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2"/>
      <c r="P2" s="4"/>
      <c r="Q2" s="4"/>
      <c r="R2" s="4"/>
      <c r="S2" s="4"/>
      <c r="T2" s="4"/>
      <c r="U2" s="4"/>
    </row>
    <row r="3">
      <c r="A3" s="13"/>
      <c r="B3" s="14"/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7</v>
      </c>
      <c r="I3" s="15" t="s">
        <v>8</v>
      </c>
      <c r="J3" s="15" t="s">
        <v>9</v>
      </c>
      <c r="K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14</v>
      </c>
      <c r="Q3" s="4"/>
      <c r="R3" s="4"/>
      <c r="S3" s="4"/>
      <c r="T3" s="4"/>
      <c r="U3" s="4"/>
    </row>
    <row r="4">
      <c r="A4" s="16"/>
      <c r="B4" s="17" t="s">
        <v>15</v>
      </c>
      <c r="C4" s="18"/>
      <c r="D4" s="18"/>
      <c r="E4" s="18"/>
      <c r="F4" s="18"/>
      <c r="G4" s="18"/>
      <c r="H4" s="18"/>
      <c r="I4" s="18"/>
      <c r="J4" s="18"/>
      <c r="K4" s="18"/>
      <c r="L4" s="19">
        <v>723.98</v>
      </c>
      <c r="M4" s="19">
        <v>723.98</v>
      </c>
      <c r="N4" s="18"/>
      <c r="O4" s="20">
        <f>C4+D4+E4+F4+G4+H4+I4+J4+K4+L4+M4+N4</f>
        <v>1447.96</v>
      </c>
      <c r="P4" s="21"/>
      <c r="Q4" s="4"/>
      <c r="R4" s="4"/>
      <c r="S4" s="4"/>
      <c r="T4" s="4"/>
      <c r="U4" s="4"/>
    </row>
    <row r="5">
      <c r="A5" s="22"/>
      <c r="B5" s="23" t="s">
        <v>16</v>
      </c>
      <c r="C5" s="18"/>
      <c r="D5" s="24"/>
      <c r="E5" s="18"/>
      <c r="F5" s="18"/>
      <c r="G5" s="18"/>
      <c r="H5" s="18"/>
      <c r="I5" s="18"/>
      <c r="J5" s="18"/>
      <c r="K5" s="18"/>
      <c r="L5" s="18"/>
      <c r="M5" s="18"/>
      <c r="N5" s="18"/>
      <c r="O5" s="20"/>
      <c r="P5" s="21"/>
      <c r="Q5" s="4"/>
      <c r="R5" s="4"/>
      <c r="S5" s="4"/>
      <c r="T5" s="4"/>
      <c r="U5" s="4"/>
    </row>
    <row r="6" hidden="1">
      <c r="A6" s="25"/>
      <c r="B6" s="26" t="s">
        <v>17</v>
      </c>
      <c r="C6" s="27">
        <f>SUM(C4:C5)</f>
        <v>0</v>
      </c>
      <c r="D6" s="27">
        <f>SUM(D4)</f>
        <v>0</v>
      </c>
      <c r="E6" s="27">
        <f t="shared" ref="E6:O6" si="1">SUM(E4:E5)</f>
        <v>0</v>
      </c>
      <c r="F6" s="27">
        <f t="shared" si="1"/>
        <v>0</v>
      </c>
      <c r="G6" s="27">
        <f t="shared" si="1"/>
        <v>0</v>
      </c>
      <c r="H6" s="27">
        <f t="shared" si="1"/>
        <v>0</v>
      </c>
      <c r="I6" s="27">
        <f t="shared" si="1"/>
        <v>0</v>
      </c>
      <c r="J6" s="27">
        <f t="shared" si="1"/>
        <v>0</v>
      </c>
      <c r="K6" s="27">
        <f t="shared" si="1"/>
        <v>0</v>
      </c>
      <c r="L6" s="27">
        <f t="shared" si="1"/>
        <v>723.98</v>
      </c>
      <c r="M6" s="27">
        <f t="shared" si="1"/>
        <v>723.98</v>
      </c>
      <c r="N6" s="27">
        <f t="shared" si="1"/>
        <v>0</v>
      </c>
      <c r="O6" s="27">
        <f t="shared" si="1"/>
        <v>1447.96</v>
      </c>
      <c r="P6" s="28"/>
      <c r="Q6" s="4"/>
      <c r="R6" s="4"/>
      <c r="S6" s="4"/>
      <c r="T6" s="4"/>
      <c r="U6" s="4"/>
    </row>
    <row r="7">
      <c r="A7" s="8"/>
      <c r="B7" s="9"/>
      <c r="C7" s="3"/>
      <c r="D7" s="4"/>
      <c r="E7" s="4"/>
      <c r="F7" s="4"/>
      <c r="G7" s="4"/>
      <c r="H7" s="4"/>
      <c r="I7" s="4"/>
      <c r="J7" s="7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>
      <c r="A8" s="8"/>
      <c r="B8" s="9"/>
      <c r="C8" s="29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4"/>
      <c r="Q8" s="4"/>
      <c r="R8" s="4"/>
      <c r="S8" s="4"/>
      <c r="T8" s="4"/>
      <c r="U8" s="4"/>
    </row>
    <row r="9">
      <c r="A9" s="8"/>
      <c r="B9" s="9"/>
      <c r="C9" s="31" t="s">
        <v>18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2"/>
      <c r="P9" s="4"/>
      <c r="Q9" s="4"/>
      <c r="R9" s="4"/>
      <c r="S9" s="4"/>
      <c r="T9" s="4"/>
      <c r="U9" s="4"/>
    </row>
    <row r="10">
      <c r="A10" s="8"/>
      <c r="B10" s="9"/>
      <c r="C10" s="32" t="s">
        <v>2</v>
      </c>
      <c r="D10" s="33" t="s">
        <v>3</v>
      </c>
      <c r="E10" s="33" t="s">
        <v>4</v>
      </c>
      <c r="F10" s="33" t="s">
        <v>5</v>
      </c>
      <c r="G10" s="33" t="s">
        <v>6</v>
      </c>
      <c r="H10" s="33" t="s">
        <v>7</v>
      </c>
      <c r="I10" s="33" t="s">
        <v>8</v>
      </c>
      <c r="J10" s="33" t="s">
        <v>9</v>
      </c>
      <c r="K10" s="33" t="s">
        <v>10</v>
      </c>
      <c r="L10" s="33" t="s">
        <v>11</v>
      </c>
      <c r="M10" s="33" t="s">
        <v>12</v>
      </c>
      <c r="N10" s="33" t="s">
        <v>13</v>
      </c>
      <c r="O10" s="33" t="s">
        <v>19</v>
      </c>
      <c r="P10" s="4"/>
      <c r="Q10" s="34" t="s">
        <v>20</v>
      </c>
      <c r="R10" s="35" t="s">
        <v>10</v>
      </c>
      <c r="S10" s="4"/>
      <c r="T10" s="4"/>
      <c r="U10" s="4"/>
    </row>
    <row r="11">
      <c r="A11" s="36"/>
      <c r="B11" s="37" t="s">
        <v>21</v>
      </c>
      <c r="C11" s="38"/>
      <c r="D11" s="39"/>
      <c r="E11" s="38"/>
      <c r="F11" s="38"/>
      <c r="G11" s="38"/>
      <c r="H11" s="38"/>
      <c r="I11" s="38"/>
      <c r="J11" s="39"/>
      <c r="K11" s="38"/>
      <c r="L11" s="40">
        <v>49.95</v>
      </c>
      <c r="M11" s="40">
        <v>49.95</v>
      </c>
      <c r="N11" s="40">
        <v>49.95</v>
      </c>
      <c r="O11" s="38">
        <f t="shared" ref="O11:O21" si="2">SUM(C11:N11)</f>
        <v>149.85</v>
      </c>
      <c r="P11" s="4"/>
      <c r="Q11" s="4"/>
      <c r="R11" s="4"/>
      <c r="S11" s="4"/>
      <c r="T11" s="4"/>
      <c r="U11" s="4"/>
    </row>
    <row r="12">
      <c r="A12" s="36"/>
      <c r="B12" s="41" t="s">
        <v>22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3">
        <f t="shared" si="2"/>
        <v>0</v>
      </c>
      <c r="P12" s="4"/>
      <c r="Q12" s="4" t="s">
        <v>23</v>
      </c>
      <c r="R12" s="4" t="s">
        <v>24</v>
      </c>
      <c r="S12" s="4"/>
      <c r="T12" s="4"/>
      <c r="U12" s="4"/>
    </row>
    <row r="13">
      <c r="A13" s="36"/>
      <c r="B13" s="41" t="s">
        <v>25</v>
      </c>
      <c r="C13" s="42"/>
      <c r="D13" s="44"/>
      <c r="E13" s="44"/>
      <c r="F13" s="42"/>
      <c r="G13" s="42"/>
      <c r="H13" s="42"/>
      <c r="I13" s="42"/>
      <c r="J13" s="42"/>
      <c r="K13" s="42"/>
      <c r="L13" s="42"/>
      <c r="M13" s="42"/>
      <c r="N13" s="42"/>
      <c r="O13" s="43">
        <f t="shared" si="2"/>
        <v>0</v>
      </c>
      <c r="P13" s="4"/>
      <c r="Q13" s="4" t="str">
        <f t="shared" ref="Q13:Q22" si="3">B11</f>
        <v>GYM - FIJO</v>
      </c>
      <c r="R13" s="45" t="str">
        <f t="shared" ref="R13:R22" si="4">INDEX(C11:N11,MATCH($R$10,$C$10:$N$10,0))</f>
        <v/>
      </c>
      <c r="S13" s="4"/>
      <c r="T13" s="4"/>
      <c r="U13" s="4"/>
    </row>
    <row r="14">
      <c r="A14" s="36"/>
      <c r="B14" s="41" t="s">
        <v>26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3">
        <f t="shared" si="2"/>
        <v>0</v>
      </c>
      <c r="P14" s="4"/>
      <c r="Q14" s="4" t="str">
        <f t="shared" si="3"/>
        <v>ASSEG. MOTO</v>
      </c>
      <c r="R14" s="45" t="str">
        <f t="shared" si="4"/>
        <v/>
      </c>
      <c r="S14" s="4"/>
      <c r="T14" s="4"/>
      <c r="U14" s="4"/>
    </row>
    <row r="15">
      <c r="A15" s="36"/>
      <c r="B15" s="41" t="s">
        <v>27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3">
        <f t="shared" si="2"/>
        <v>0</v>
      </c>
      <c r="P15" s="4"/>
      <c r="Q15" s="4" t="str">
        <f t="shared" si="3"/>
        <v>ITV MOTO</v>
      </c>
      <c r="R15" s="45" t="str">
        <f t="shared" si="4"/>
        <v/>
      </c>
      <c r="S15" s="4"/>
      <c r="T15" s="4"/>
      <c r="U15" s="4"/>
    </row>
    <row r="16">
      <c r="A16" s="36"/>
      <c r="B16" s="41" t="s">
        <v>28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3">
        <f t="shared" si="2"/>
        <v>0</v>
      </c>
      <c r="P16" s="4"/>
      <c r="Q16" s="4" t="str">
        <f t="shared" si="3"/>
        <v>REV./REPARACIONS MOTO</v>
      </c>
      <c r="R16" s="45" t="str">
        <f t="shared" si="4"/>
        <v/>
      </c>
      <c r="S16" s="4"/>
      <c r="T16" s="4"/>
      <c r="U16" s="4"/>
    </row>
    <row r="17">
      <c r="A17" s="36"/>
      <c r="B17" s="41" t="s">
        <v>29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3">
        <f t="shared" si="2"/>
        <v>0</v>
      </c>
      <c r="P17" s="4"/>
      <c r="Q17" s="4" t="str">
        <f t="shared" si="3"/>
        <v>IMPOST CIRCULACIO MOTO</v>
      </c>
      <c r="R17" s="45" t="str">
        <f t="shared" si="4"/>
        <v/>
      </c>
      <c r="S17" s="4"/>
      <c r="T17" s="4"/>
      <c r="U17" s="4"/>
    </row>
    <row r="18">
      <c r="A18" s="36"/>
      <c r="B18" s="46" t="s">
        <v>30</v>
      </c>
      <c r="C18" s="42"/>
      <c r="D18" s="44"/>
      <c r="E18" s="42"/>
      <c r="F18" s="42"/>
      <c r="G18" s="42"/>
      <c r="H18" s="42"/>
      <c r="I18" s="42"/>
      <c r="J18" s="42"/>
      <c r="K18" s="42"/>
      <c r="L18" s="47">
        <v>13.0</v>
      </c>
      <c r="M18" s="42"/>
      <c r="N18" s="42"/>
      <c r="O18" s="43">
        <f t="shared" si="2"/>
        <v>13</v>
      </c>
      <c r="P18" s="4"/>
      <c r="Q18" s="4" t="str">
        <f t="shared" si="3"/>
        <v>TRANSPORT PÚBLIC</v>
      </c>
      <c r="R18" s="45" t="str">
        <f t="shared" si="4"/>
        <v/>
      </c>
      <c r="S18" s="4"/>
      <c r="T18" s="4"/>
      <c r="U18" s="4"/>
    </row>
    <row r="19">
      <c r="A19" s="36"/>
      <c r="B19" s="37" t="s">
        <v>31</v>
      </c>
      <c r="C19" s="42"/>
      <c r="D19" s="42"/>
      <c r="E19" s="42"/>
      <c r="F19" s="42"/>
      <c r="G19" s="42"/>
      <c r="H19" s="42"/>
      <c r="I19" s="42"/>
      <c r="J19" s="42"/>
      <c r="K19" s="42"/>
      <c r="L19" s="47">
        <v>12.0</v>
      </c>
      <c r="M19" s="47"/>
      <c r="N19" s="42"/>
      <c r="O19" s="43">
        <f t="shared" si="2"/>
        <v>12</v>
      </c>
      <c r="P19" s="4"/>
      <c r="Q19" s="4" t="str">
        <f t="shared" si="3"/>
        <v>BENZINA MOTO</v>
      </c>
      <c r="R19" s="45" t="str">
        <f t="shared" si="4"/>
        <v/>
      </c>
      <c r="S19" s="4"/>
      <c r="T19" s="4"/>
      <c r="U19" s="4"/>
    </row>
    <row r="20">
      <c r="A20" s="36"/>
      <c r="B20" s="46"/>
      <c r="C20" s="42"/>
      <c r="D20" s="42"/>
      <c r="E20" s="42"/>
      <c r="F20" s="42"/>
      <c r="G20" s="42"/>
      <c r="H20" s="42"/>
      <c r="I20" s="42"/>
      <c r="J20" s="42"/>
      <c r="K20" s="42"/>
      <c r="L20" s="47"/>
      <c r="M20" s="47"/>
      <c r="N20" s="42"/>
      <c r="O20" s="43">
        <f t="shared" si="2"/>
        <v>0</v>
      </c>
      <c r="P20" s="4"/>
      <c r="Q20" s="4" t="str">
        <f t="shared" si="3"/>
        <v>CORTE DE PELO</v>
      </c>
      <c r="R20" s="45" t="str">
        <f t="shared" si="4"/>
        <v/>
      </c>
      <c r="S20" s="4"/>
      <c r="T20" s="4"/>
      <c r="U20" s="4"/>
    </row>
    <row r="21">
      <c r="A21" s="48"/>
      <c r="B21" s="49" t="s">
        <v>32</v>
      </c>
      <c r="C21" s="50">
        <f t="shared" ref="C21:N21" si="5">SUM(C11:C20)</f>
        <v>0</v>
      </c>
      <c r="D21" s="50">
        <f t="shared" si="5"/>
        <v>0</v>
      </c>
      <c r="E21" s="50">
        <f t="shared" si="5"/>
        <v>0</v>
      </c>
      <c r="F21" s="50">
        <f t="shared" si="5"/>
        <v>0</v>
      </c>
      <c r="G21" s="50">
        <f t="shared" si="5"/>
        <v>0</v>
      </c>
      <c r="H21" s="50">
        <f t="shared" si="5"/>
        <v>0</v>
      </c>
      <c r="I21" s="50">
        <f t="shared" si="5"/>
        <v>0</v>
      </c>
      <c r="J21" s="50">
        <f t="shared" si="5"/>
        <v>0</v>
      </c>
      <c r="K21" s="50">
        <f t="shared" si="5"/>
        <v>0</v>
      </c>
      <c r="L21" s="50">
        <f t="shared" si="5"/>
        <v>74.95</v>
      </c>
      <c r="M21" s="50">
        <f t="shared" si="5"/>
        <v>49.95</v>
      </c>
      <c r="N21" s="50">
        <f t="shared" si="5"/>
        <v>49.95</v>
      </c>
      <c r="O21" s="50">
        <f t="shared" si="2"/>
        <v>174.85</v>
      </c>
      <c r="P21" s="4"/>
      <c r="Q21" s="4" t="str">
        <f t="shared" si="3"/>
        <v>OTROS</v>
      </c>
      <c r="R21" s="45" t="str">
        <f t="shared" si="4"/>
        <v/>
      </c>
      <c r="S21" s="4"/>
      <c r="T21" s="4"/>
      <c r="U21" s="4"/>
    </row>
    <row r="22">
      <c r="A22" s="51"/>
      <c r="B22" s="52" t="s">
        <v>33</v>
      </c>
      <c r="C22" s="50">
        <f t="shared" ref="C22:O22" si="6">C23-C21</f>
        <v>0</v>
      </c>
      <c r="D22" s="50">
        <f t="shared" si="6"/>
        <v>0</v>
      </c>
      <c r="E22" s="50">
        <f t="shared" si="6"/>
        <v>0</v>
      </c>
      <c r="F22" s="50">
        <f t="shared" si="6"/>
        <v>0</v>
      </c>
      <c r="G22" s="50">
        <f t="shared" si="6"/>
        <v>0</v>
      </c>
      <c r="H22" s="50">
        <f t="shared" si="6"/>
        <v>0</v>
      </c>
      <c r="I22" s="50">
        <f t="shared" si="6"/>
        <v>0</v>
      </c>
      <c r="J22" s="50">
        <f t="shared" si="6"/>
        <v>0</v>
      </c>
      <c r="K22" s="50">
        <f t="shared" si="6"/>
        <v>0</v>
      </c>
      <c r="L22" s="50">
        <f t="shared" si="6"/>
        <v>214.642</v>
      </c>
      <c r="M22" s="50">
        <f t="shared" si="6"/>
        <v>239.642</v>
      </c>
      <c r="N22" s="50">
        <f t="shared" si="6"/>
        <v>-49.95</v>
      </c>
      <c r="O22" s="50">
        <f t="shared" si="6"/>
        <v>404.334</v>
      </c>
      <c r="P22" s="4"/>
      <c r="Q22" s="4" t="str">
        <f t="shared" si="3"/>
        <v/>
      </c>
      <c r="R22" s="45" t="str">
        <f t="shared" si="4"/>
        <v/>
      </c>
      <c r="S22" s="4"/>
      <c r="T22" s="4"/>
      <c r="U22" s="4"/>
    </row>
    <row r="23">
      <c r="A23" s="53"/>
      <c r="B23" s="54" t="s">
        <v>34</v>
      </c>
      <c r="C23" s="55">
        <f t="shared" ref="C23:O23" si="7">C6*40/100</f>
        <v>0</v>
      </c>
      <c r="D23" s="55">
        <f t="shared" si="7"/>
        <v>0</v>
      </c>
      <c r="E23" s="55">
        <f t="shared" si="7"/>
        <v>0</v>
      </c>
      <c r="F23" s="55">
        <f t="shared" si="7"/>
        <v>0</v>
      </c>
      <c r="G23" s="55">
        <f t="shared" si="7"/>
        <v>0</v>
      </c>
      <c r="H23" s="55">
        <f t="shared" si="7"/>
        <v>0</v>
      </c>
      <c r="I23" s="55">
        <f t="shared" si="7"/>
        <v>0</v>
      </c>
      <c r="J23" s="55">
        <f t="shared" si="7"/>
        <v>0</v>
      </c>
      <c r="K23" s="55">
        <f t="shared" si="7"/>
        <v>0</v>
      </c>
      <c r="L23" s="55">
        <f t="shared" si="7"/>
        <v>289.592</v>
      </c>
      <c r="M23" s="55">
        <f t="shared" si="7"/>
        <v>289.592</v>
      </c>
      <c r="N23" s="55">
        <f t="shared" si="7"/>
        <v>0</v>
      </c>
      <c r="O23" s="55">
        <f t="shared" si="7"/>
        <v>579.184</v>
      </c>
      <c r="P23" s="4"/>
      <c r="Q23" s="4"/>
      <c r="R23" s="4"/>
      <c r="S23" s="4"/>
      <c r="T23" s="4"/>
      <c r="U23" s="4"/>
    </row>
    <row r="24">
      <c r="A24" s="8"/>
      <c r="B24" s="8"/>
      <c r="C24" s="29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4"/>
      <c r="Q24" s="4"/>
      <c r="R24" s="4"/>
      <c r="S24" s="4"/>
      <c r="T24" s="4"/>
      <c r="U24" s="4"/>
    </row>
    <row r="25">
      <c r="A25" s="8"/>
      <c r="B25" s="8"/>
      <c r="P25" s="4"/>
      <c r="Q25" s="4"/>
      <c r="R25" s="4"/>
      <c r="S25" s="4"/>
      <c r="T25" s="4"/>
      <c r="U25" s="4"/>
    </row>
    <row r="26">
      <c r="A26" s="8"/>
      <c r="B26" s="8"/>
      <c r="C26" s="56" t="s">
        <v>35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2"/>
      <c r="P26" s="4"/>
      <c r="Q26" s="4"/>
      <c r="R26" s="4"/>
      <c r="S26" s="4"/>
      <c r="T26" s="4"/>
      <c r="U26" s="4"/>
    </row>
    <row r="27">
      <c r="A27" s="8"/>
      <c r="B27" s="8"/>
      <c r="C27" s="32" t="s">
        <v>2</v>
      </c>
      <c r="D27" s="33" t="s">
        <v>3</v>
      </c>
      <c r="E27" s="33" t="s">
        <v>4</v>
      </c>
      <c r="F27" s="33" t="s">
        <v>5</v>
      </c>
      <c r="G27" s="33" t="s">
        <v>6</v>
      </c>
      <c r="H27" s="33" t="s">
        <v>7</v>
      </c>
      <c r="I27" s="33" t="s">
        <v>8</v>
      </c>
      <c r="J27" s="33" t="s">
        <v>9</v>
      </c>
      <c r="K27" s="33" t="s">
        <v>10</v>
      </c>
      <c r="L27" s="33" t="s">
        <v>11</v>
      </c>
      <c r="M27" s="33" t="s">
        <v>12</v>
      </c>
      <c r="N27" s="33" t="s">
        <v>13</v>
      </c>
      <c r="O27" s="33" t="s">
        <v>19</v>
      </c>
      <c r="P27" s="4"/>
      <c r="Q27" s="4"/>
      <c r="R27" s="4"/>
      <c r="S27" s="4"/>
      <c r="T27" s="4"/>
      <c r="U27" s="4"/>
    </row>
    <row r="28">
      <c r="A28" s="36"/>
      <c r="B28" s="57" t="s">
        <v>36</v>
      </c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20">
        <f t="shared" ref="O28:O33" si="8">SUM(C28:N28)</f>
        <v>0</v>
      </c>
      <c r="P28" s="4"/>
      <c r="Q28" s="4"/>
      <c r="R28" s="4"/>
      <c r="S28" s="4"/>
      <c r="T28" s="4"/>
      <c r="U28" s="4"/>
    </row>
    <row r="29">
      <c r="A29" s="36"/>
      <c r="B29" s="57" t="s">
        <v>37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9">
        <f t="shared" si="8"/>
        <v>0</v>
      </c>
      <c r="P29" s="4"/>
      <c r="Q29" s="4"/>
      <c r="R29" s="4"/>
      <c r="S29" s="4"/>
      <c r="T29" s="4"/>
      <c r="U29" s="4"/>
    </row>
    <row r="30">
      <c r="A30" s="36"/>
      <c r="B30" s="57" t="s">
        <v>38</v>
      </c>
      <c r="C30" s="58"/>
      <c r="D30" s="58"/>
      <c r="E30" s="58"/>
      <c r="F30" s="58"/>
      <c r="G30" s="58"/>
      <c r="H30" s="58"/>
      <c r="I30" s="58"/>
      <c r="J30" s="58"/>
      <c r="K30" s="58"/>
      <c r="L30" s="60">
        <f>6 + 3.88 + 1.7+ 7</f>
        <v>18.58</v>
      </c>
      <c r="M30" s="58"/>
      <c r="N30" s="58"/>
      <c r="O30" s="59">
        <f t="shared" si="8"/>
        <v>18.58</v>
      </c>
      <c r="P30" s="4"/>
      <c r="Q30" s="4"/>
      <c r="R30" s="4"/>
      <c r="S30" s="4"/>
      <c r="T30" s="4"/>
      <c r="U30" s="4"/>
    </row>
    <row r="31">
      <c r="A31" s="36"/>
      <c r="B31" s="57" t="s">
        <v>39</v>
      </c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9">
        <f t="shared" si="8"/>
        <v>0</v>
      </c>
      <c r="P31" s="4"/>
      <c r="Q31" s="4" t="s">
        <v>23</v>
      </c>
      <c r="R31" s="4" t="s">
        <v>24</v>
      </c>
      <c r="S31" s="4"/>
      <c r="T31" s="4"/>
      <c r="U31" s="4"/>
    </row>
    <row r="32">
      <c r="A32" s="36"/>
      <c r="B32" s="61" t="s">
        <v>40</v>
      </c>
      <c r="C32" s="58"/>
      <c r="D32" s="58"/>
      <c r="E32" s="58"/>
      <c r="F32" s="58"/>
      <c r="G32" s="58"/>
      <c r="H32" s="58"/>
      <c r="I32" s="58"/>
      <c r="J32" s="58"/>
      <c r="K32" s="58"/>
      <c r="L32" s="60">
        <v>30.27</v>
      </c>
      <c r="M32" s="58"/>
      <c r="N32" s="58"/>
      <c r="O32" s="59">
        <f t="shared" si="8"/>
        <v>30.27</v>
      </c>
      <c r="P32" s="4"/>
      <c r="Q32" s="4" t="str">
        <f t="shared" ref="Q32:Q33" si="9">B28</f>
        <v>SALIDAS/VIAGES</v>
      </c>
      <c r="R32" s="45" t="str">
        <f t="shared" ref="R32:R33" si="10">INDEX(C28:N28,MATCH($R$10,$C$27:$N$27,0))</f>
        <v/>
      </c>
      <c r="S32" s="4"/>
      <c r="T32" s="4"/>
      <c r="U32" s="4"/>
    </row>
    <row r="33">
      <c r="A33" s="36"/>
      <c r="B33" s="57" t="s">
        <v>41</v>
      </c>
      <c r="C33" s="58"/>
      <c r="D33" s="58"/>
      <c r="E33" s="58"/>
      <c r="F33" s="58"/>
      <c r="G33" s="58"/>
      <c r="H33" s="58"/>
      <c r="I33" s="58"/>
      <c r="J33" s="58"/>
      <c r="K33" s="58"/>
      <c r="L33" s="60">
        <f>110.58 + 89.5</f>
        <v>200.08</v>
      </c>
      <c r="M33" s="58"/>
      <c r="N33" s="58"/>
      <c r="O33" s="59">
        <f t="shared" si="8"/>
        <v>200.08</v>
      </c>
      <c r="P33" s="4"/>
      <c r="Q33" s="4" t="str">
        <f t="shared" si="9"/>
        <v>ROPA</v>
      </c>
      <c r="R33" s="45" t="str">
        <f t="shared" si="10"/>
        <v/>
      </c>
      <c r="S33" s="4"/>
      <c r="T33" s="4"/>
      <c r="U33" s="4"/>
    </row>
    <row r="34">
      <c r="A34" s="36"/>
      <c r="B34" s="57" t="s">
        <v>42</v>
      </c>
      <c r="C34" s="58"/>
      <c r="D34" s="58"/>
      <c r="E34" s="58"/>
      <c r="F34" s="58"/>
      <c r="G34" s="58"/>
      <c r="H34" s="58"/>
      <c r="I34" s="58"/>
      <c r="J34" s="58"/>
      <c r="K34" s="58"/>
      <c r="L34" s="60">
        <f>13.05 + 0.36</f>
        <v>13.41</v>
      </c>
      <c r="M34" s="58"/>
      <c r="N34" s="58"/>
      <c r="O34" s="59"/>
      <c r="P34" s="4"/>
      <c r="Q34" s="4"/>
      <c r="R34" s="45"/>
      <c r="S34" s="4"/>
      <c r="T34" s="4"/>
      <c r="U34" s="4"/>
    </row>
    <row r="35">
      <c r="A35" s="36"/>
      <c r="B35" s="62" t="s">
        <v>43</v>
      </c>
      <c r="C35" s="58"/>
      <c r="D35" s="58"/>
      <c r="E35" s="58"/>
      <c r="F35" s="58"/>
      <c r="G35" s="58"/>
      <c r="H35" s="58"/>
      <c r="I35" s="58"/>
      <c r="J35" s="58"/>
      <c r="K35" s="58"/>
      <c r="L35" s="60">
        <f>1.5 + 68.1 + 6</f>
        <v>75.6</v>
      </c>
      <c r="M35" s="58"/>
      <c r="N35" s="58"/>
      <c r="O35" s="59">
        <f>SUM(C35:N35)</f>
        <v>75.6</v>
      </c>
      <c r="P35" s="4"/>
      <c r="Q35" s="4" t="str">
        <f t="shared" ref="Q35:Q38" si="12">B30</f>
        <v>COMIDAS</v>
      </c>
      <c r="R35" s="45" t="str">
        <f t="shared" ref="R35:R38" si="13">INDEX(C30:N30,MATCH($R$10,$C$27:$N$27,0))</f>
        <v/>
      </c>
      <c r="S35" s="4"/>
      <c r="T35" s="4"/>
      <c r="U35" s="4"/>
    </row>
    <row r="36">
      <c r="A36" s="63"/>
      <c r="B36" s="64" t="s">
        <v>32</v>
      </c>
      <c r="C36" s="50">
        <f t="shared" ref="C36:O36" si="11">SUM(C28:C35)</f>
        <v>0</v>
      </c>
      <c r="D36" s="50">
        <f t="shared" si="11"/>
        <v>0</v>
      </c>
      <c r="E36" s="50">
        <f t="shared" si="11"/>
        <v>0</v>
      </c>
      <c r="F36" s="50">
        <f t="shared" si="11"/>
        <v>0</v>
      </c>
      <c r="G36" s="50">
        <f t="shared" si="11"/>
        <v>0</v>
      </c>
      <c r="H36" s="50">
        <f t="shared" si="11"/>
        <v>0</v>
      </c>
      <c r="I36" s="50">
        <f t="shared" si="11"/>
        <v>0</v>
      </c>
      <c r="J36" s="50">
        <f t="shared" si="11"/>
        <v>0</v>
      </c>
      <c r="K36" s="50">
        <f t="shared" si="11"/>
        <v>0</v>
      </c>
      <c r="L36" s="50">
        <f t="shared" si="11"/>
        <v>337.94</v>
      </c>
      <c r="M36" s="50">
        <f t="shared" si="11"/>
        <v>0</v>
      </c>
      <c r="N36" s="50">
        <f t="shared" si="11"/>
        <v>0</v>
      </c>
      <c r="O36" s="50">
        <f t="shared" si="11"/>
        <v>324.53</v>
      </c>
      <c r="P36" s="4"/>
      <c r="Q36" s="4" t="str">
        <f t="shared" si="12"/>
        <v>DEPORTES</v>
      </c>
      <c r="R36" s="45" t="str">
        <f t="shared" si="13"/>
        <v/>
      </c>
      <c r="S36" s="4"/>
      <c r="T36" s="4"/>
      <c r="U36" s="4"/>
    </row>
    <row r="37">
      <c r="A37" s="65"/>
      <c r="B37" s="66" t="s">
        <v>33</v>
      </c>
      <c r="C37" s="50">
        <f t="shared" ref="C37:O37" si="14">C38-C36</f>
        <v>0</v>
      </c>
      <c r="D37" s="50">
        <f t="shared" si="14"/>
        <v>0</v>
      </c>
      <c r="E37" s="50">
        <f t="shared" si="14"/>
        <v>0</v>
      </c>
      <c r="F37" s="50">
        <f t="shared" si="14"/>
        <v>0</v>
      </c>
      <c r="G37" s="50">
        <f t="shared" si="14"/>
        <v>0</v>
      </c>
      <c r="H37" s="50">
        <f t="shared" si="14"/>
        <v>0</v>
      </c>
      <c r="I37" s="50">
        <f t="shared" si="14"/>
        <v>0</v>
      </c>
      <c r="J37" s="50">
        <f t="shared" si="14"/>
        <v>0</v>
      </c>
      <c r="K37" s="50">
        <f t="shared" si="14"/>
        <v>0</v>
      </c>
      <c r="L37" s="50">
        <f t="shared" si="14"/>
        <v>-120.746</v>
      </c>
      <c r="M37" s="50">
        <f t="shared" si="14"/>
        <v>217.194</v>
      </c>
      <c r="N37" s="50">
        <f t="shared" si="14"/>
        <v>0</v>
      </c>
      <c r="O37" s="50">
        <f t="shared" si="14"/>
        <v>109.858</v>
      </c>
      <c r="P37" s="4"/>
      <c r="Q37" s="4" t="str">
        <f t="shared" si="12"/>
        <v>REGALS</v>
      </c>
      <c r="R37" s="45" t="str">
        <f t="shared" si="13"/>
        <v/>
      </c>
      <c r="S37" s="4"/>
      <c r="T37" s="4"/>
      <c r="U37" s="4"/>
    </row>
    <row r="38">
      <c r="A38" s="53"/>
      <c r="B38" s="67" t="s">
        <v>44</v>
      </c>
      <c r="C38" s="68">
        <f t="shared" ref="C38:O38" si="15">C6*30/100</f>
        <v>0</v>
      </c>
      <c r="D38" s="68">
        <f t="shared" si="15"/>
        <v>0</v>
      </c>
      <c r="E38" s="68">
        <f t="shared" si="15"/>
        <v>0</v>
      </c>
      <c r="F38" s="68">
        <f t="shared" si="15"/>
        <v>0</v>
      </c>
      <c r="G38" s="68">
        <f t="shared" si="15"/>
        <v>0</v>
      </c>
      <c r="H38" s="68">
        <f t="shared" si="15"/>
        <v>0</v>
      </c>
      <c r="I38" s="68">
        <f t="shared" si="15"/>
        <v>0</v>
      </c>
      <c r="J38" s="68">
        <f t="shared" si="15"/>
        <v>0</v>
      </c>
      <c r="K38" s="68">
        <f t="shared" si="15"/>
        <v>0</v>
      </c>
      <c r="L38" s="68">
        <f t="shared" si="15"/>
        <v>217.194</v>
      </c>
      <c r="M38" s="68">
        <f t="shared" si="15"/>
        <v>217.194</v>
      </c>
      <c r="N38" s="68">
        <f t="shared" si="15"/>
        <v>0</v>
      </c>
      <c r="O38" s="68">
        <f t="shared" si="15"/>
        <v>434.388</v>
      </c>
      <c r="P38" s="4"/>
      <c r="Q38" s="4" t="str">
        <f t="shared" si="12"/>
        <v>PIEZAS MOTO</v>
      </c>
      <c r="R38" s="45" t="str">
        <f t="shared" si="13"/>
        <v/>
      </c>
      <c r="S38" s="4"/>
      <c r="T38" s="4"/>
      <c r="U38" s="4"/>
    </row>
    <row r="39">
      <c r="A39" s="8"/>
      <c r="B39" s="9"/>
      <c r="C39" s="3"/>
      <c r="D39" s="4"/>
      <c r="E39" s="4"/>
      <c r="F39" s="4"/>
      <c r="G39" s="4"/>
      <c r="H39" s="4"/>
      <c r="I39" s="4"/>
      <c r="J39" s="7"/>
      <c r="K39" s="4"/>
      <c r="L39" s="4"/>
      <c r="M39" s="4"/>
      <c r="N39" s="4"/>
      <c r="O39" s="4"/>
      <c r="P39" s="4"/>
      <c r="Q39" s="4" t="str">
        <f>B35</f>
        <v>HOTWHEELS</v>
      </c>
      <c r="R39" s="45" t="str">
        <f t="array" ref="R39">INDEX(C35:N35,MATCH($R$10,$C$27:$N$27,0))</f>
        <v/>
      </c>
      <c r="S39" s="4"/>
      <c r="T39" s="4"/>
      <c r="U39" s="4"/>
    </row>
    <row r="40">
      <c r="A40" s="8"/>
      <c r="B40" s="9"/>
      <c r="C40" s="3"/>
      <c r="D40" s="4"/>
      <c r="E40" s="4"/>
      <c r="F40" s="4"/>
      <c r="G40" s="4"/>
      <c r="H40" s="4"/>
      <c r="I40" s="4"/>
      <c r="J40" s="7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>
      <c r="A41" s="8"/>
      <c r="B41" s="9"/>
      <c r="C41" s="69" t="s">
        <v>45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2"/>
      <c r="P41" s="4"/>
      <c r="Q41" s="4"/>
      <c r="R41" s="4"/>
      <c r="S41" s="4"/>
      <c r="T41" s="4"/>
      <c r="U41" s="4"/>
    </row>
    <row r="42">
      <c r="A42" s="8"/>
      <c r="B42" s="9"/>
      <c r="C42" s="32" t="s">
        <v>2</v>
      </c>
      <c r="D42" s="33" t="s">
        <v>3</v>
      </c>
      <c r="E42" s="33" t="s">
        <v>4</v>
      </c>
      <c r="F42" s="33" t="s">
        <v>5</v>
      </c>
      <c r="G42" s="33" t="s">
        <v>6</v>
      </c>
      <c r="H42" s="33" t="s">
        <v>7</v>
      </c>
      <c r="I42" s="33" t="s">
        <v>8</v>
      </c>
      <c r="J42" s="33" t="s">
        <v>9</v>
      </c>
      <c r="K42" s="33" t="s">
        <v>10</v>
      </c>
      <c r="L42" s="33" t="s">
        <v>11</v>
      </c>
      <c r="M42" s="33" t="s">
        <v>12</v>
      </c>
      <c r="N42" s="33" t="s">
        <v>13</v>
      </c>
      <c r="O42" s="33" t="s">
        <v>19</v>
      </c>
      <c r="P42" s="4"/>
      <c r="Q42" s="4"/>
      <c r="R42" s="4"/>
      <c r="S42" s="4"/>
      <c r="T42" s="4"/>
      <c r="U42" s="4"/>
    </row>
    <row r="43">
      <c r="A43" s="70"/>
      <c r="B43" s="71" t="s">
        <v>46</v>
      </c>
      <c r="C43" s="72">
        <f t="shared" ref="C43:N43" si="16">C$45*50/100</f>
        <v>0</v>
      </c>
      <c r="D43" s="72">
        <f t="shared" si="16"/>
        <v>0</v>
      </c>
      <c r="E43" s="72">
        <f t="shared" si="16"/>
        <v>0</v>
      </c>
      <c r="F43" s="72">
        <f t="shared" si="16"/>
        <v>0</v>
      </c>
      <c r="G43" s="72">
        <f t="shared" si="16"/>
        <v>0</v>
      </c>
      <c r="H43" s="72">
        <f t="shared" si="16"/>
        <v>0</v>
      </c>
      <c r="I43" s="72">
        <f t="shared" si="16"/>
        <v>0</v>
      </c>
      <c r="J43" s="72">
        <f t="shared" si="16"/>
        <v>0</v>
      </c>
      <c r="K43" s="72">
        <f t="shared" si="16"/>
        <v>0</v>
      </c>
      <c r="L43" s="72">
        <f t="shared" si="16"/>
        <v>108.597</v>
      </c>
      <c r="M43" s="72">
        <f t="shared" si="16"/>
        <v>108.597</v>
      </c>
      <c r="N43" s="72">
        <f t="shared" si="16"/>
        <v>0</v>
      </c>
      <c r="O43" s="43">
        <f t="shared" ref="O43:O45" si="18">SUM(C43:N43)</f>
        <v>217.194</v>
      </c>
      <c r="P43" s="4"/>
      <c r="Q43" s="4"/>
      <c r="R43" s="4"/>
      <c r="S43" s="4"/>
      <c r="T43" s="4"/>
      <c r="U43" s="4"/>
    </row>
    <row r="44">
      <c r="A44" s="73"/>
      <c r="B44" s="74" t="s">
        <v>47</v>
      </c>
      <c r="C44" s="72">
        <f t="shared" ref="C44:N44" si="17">C$45*50/100</f>
        <v>0</v>
      </c>
      <c r="D44" s="72">
        <f t="shared" si="17"/>
        <v>0</v>
      </c>
      <c r="E44" s="72">
        <f t="shared" si="17"/>
        <v>0</v>
      </c>
      <c r="F44" s="72">
        <f t="shared" si="17"/>
        <v>0</v>
      </c>
      <c r="G44" s="72">
        <f t="shared" si="17"/>
        <v>0</v>
      </c>
      <c r="H44" s="72">
        <f t="shared" si="17"/>
        <v>0</v>
      </c>
      <c r="I44" s="72">
        <f t="shared" si="17"/>
        <v>0</v>
      </c>
      <c r="J44" s="72">
        <f t="shared" si="17"/>
        <v>0</v>
      </c>
      <c r="K44" s="72">
        <f t="shared" si="17"/>
        <v>0</v>
      </c>
      <c r="L44" s="72">
        <f t="shared" si="17"/>
        <v>108.597</v>
      </c>
      <c r="M44" s="72">
        <f t="shared" si="17"/>
        <v>108.597</v>
      </c>
      <c r="N44" s="72">
        <f t="shared" si="17"/>
        <v>0</v>
      </c>
      <c r="O44" s="43">
        <f t="shared" si="18"/>
        <v>217.194</v>
      </c>
      <c r="P44" s="4"/>
      <c r="Q44" s="4"/>
      <c r="R44" s="4"/>
      <c r="S44" s="4"/>
      <c r="T44" s="4"/>
      <c r="U44" s="4"/>
    </row>
    <row r="45">
      <c r="A45" s="53"/>
      <c r="B45" s="75" t="s">
        <v>48</v>
      </c>
      <c r="C45" s="76">
        <f t="shared" ref="C45:N45" si="19">C6*30/100</f>
        <v>0</v>
      </c>
      <c r="D45" s="76">
        <f t="shared" si="19"/>
        <v>0</v>
      </c>
      <c r="E45" s="76">
        <f t="shared" si="19"/>
        <v>0</v>
      </c>
      <c r="F45" s="76">
        <f t="shared" si="19"/>
        <v>0</v>
      </c>
      <c r="G45" s="76">
        <f t="shared" si="19"/>
        <v>0</v>
      </c>
      <c r="H45" s="76">
        <f t="shared" si="19"/>
        <v>0</v>
      </c>
      <c r="I45" s="76">
        <f t="shared" si="19"/>
        <v>0</v>
      </c>
      <c r="J45" s="76">
        <f t="shared" si="19"/>
        <v>0</v>
      </c>
      <c r="K45" s="76">
        <f t="shared" si="19"/>
        <v>0</v>
      </c>
      <c r="L45" s="76">
        <f t="shared" si="19"/>
        <v>217.194</v>
      </c>
      <c r="M45" s="76">
        <f t="shared" si="19"/>
        <v>217.194</v>
      </c>
      <c r="N45" s="76">
        <f t="shared" si="19"/>
        <v>0</v>
      </c>
      <c r="O45" s="76">
        <f t="shared" si="18"/>
        <v>434.388</v>
      </c>
      <c r="P45" s="4"/>
      <c r="Q45" s="4"/>
      <c r="R45" s="4"/>
      <c r="S45" s="4"/>
      <c r="T45" s="4"/>
      <c r="U45" s="4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4"/>
      <c r="Q46" s="4"/>
      <c r="R46" s="4"/>
      <c r="S46" s="4"/>
      <c r="T46" s="4"/>
      <c r="U46" s="4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4"/>
      <c r="Q47" s="4"/>
      <c r="R47" s="4"/>
      <c r="S47" s="4"/>
      <c r="T47" s="4"/>
      <c r="U47" s="4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4"/>
      <c r="Q48" s="4"/>
      <c r="R48" s="4"/>
      <c r="S48" s="4"/>
      <c r="T48" s="4"/>
      <c r="U48" s="4"/>
    </row>
    <row r="49">
      <c r="A49" s="8"/>
      <c r="B49" s="8"/>
      <c r="C49" s="3"/>
      <c r="D49" s="4"/>
      <c r="E49" s="4"/>
      <c r="F49" s="4"/>
      <c r="G49" s="4"/>
      <c r="H49" s="4"/>
      <c r="I49" s="4"/>
      <c r="J49" s="7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</sheetData>
  <mergeCells count="4">
    <mergeCell ref="C2:O2"/>
    <mergeCell ref="C9:O9"/>
    <mergeCell ref="C26:O26"/>
    <mergeCell ref="C41:O41"/>
  </mergeCells>
  <conditionalFormatting sqref="A1:B1">
    <cfRule type="colorScale" priority="1">
      <colorScale>
        <cfvo type="min"/>
        <cfvo type="max"/>
        <color rgb="FFFFFFFF"/>
        <color rgb="FF57BB8A"/>
      </colorScale>
    </cfRule>
  </conditionalFormatting>
  <conditionalFormatting sqref="C21:O22">
    <cfRule type="cellIs" dxfId="4" priority="2" operator="greaterThan">
      <formula>0</formula>
    </cfRule>
  </conditionalFormatting>
  <conditionalFormatting sqref="C21:O22">
    <cfRule type="cellIs" dxfId="5" priority="3" operator="lessThan">
      <formula>0</formula>
    </cfRule>
  </conditionalFormatting>
  <conditionalFormatting sqref="C36:O37">
    <cfRule type="cellIs" dxfId="4" priority="4" operator="greaterThan">
      <formula>0</formula>
    </cfRule>
  </conditionalFormatting>
  <conditionalFormatting sqref="C36:O37">
    <cfRule type="cellIs" dxfId="5" priority="5" operator="lessThan">
      <formula>0</formula>
    </cfRule>
  </conditionalFormatting>
  <dataValidations>
    <dataValidation type="list" allowBlank="1" showErrorMessage="1" sqref="R10">
      <formula1>C10:N10</formula1>
    </dataValidation>
  </dataValidations>
  <drawing r:id="rId1"/>
  <tableParts count="3">
    <tablePart r:id="rId5"/>
    <tablePart r:id="rId6"/>
    <tablePart r:id="rId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2025-01-25T09:15:53Z</dcterms:created>
  <dc:creator>Ricard Franco</dc:creator>
</cp:coreProperties>
</file>